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<sst xmlns="http://schemas.openxmlformats.org/spreadsheetml/2006/main" count="61" uniqueCount="61">
  <si>
    <t>Total</t>
  </si>
  <si>
    <t>ASSETS</t>
  </si>
  <si>
    <t xml:space="preserve">   Current Assets</t>
  </si>
  <si>
    <t xml:space="preserve">      Bank Accounts</t>
  </si>
  <si>
    <t xml:space="preserve">         Amazon Credit</t>
  </si>
  <si>
    <t xml:space="preserve">         Barter Services</t>
  </si>
  <si>
    <t xml:space="preserve">         BUSINESS CLASSIC (0558)</t>
  </si>
  <si>
    <t xml:space="preserve">         BUSINESS SAVINGS (2473)</t>
  </si>
  <si>
    <t xml:space="preserve">         FAM BUSINESS CHECKING (7802)</t>
  </si>
  <si>
    <t xml:space="preserve">      Total Bank Accounts</t>
  </si>
  <si>
    <t xml:space="preserve">      Other Current Assets</t>
  </si>
  <si>
    <t xml:space="preserve">         Uncategorized Asset</t>
  </si>
  <si>
    <t xml:space="preserve">         Undeposited Funds</t>
  </si>
  <si>
    <t xml:space="preserve">      Total Other Current Assets</t>
  </si>
  <si>
    <t xml:space="preserve">   Total Current Assets</t>
  </si>
  <si>
    <t xml:space="preserve">   Fixed Assets</t>
  </si>
  <si>
    <t xml:space="preserve">      Accumulated Depreciation</t>
  </si>
  <si>
    <t xml:space="preserve">      Infrastructure</t>
  </si>
  <si>
    <t xml:space="preserve">      Machinery</t>
  </si>
  <si>
    <t xml:space="preserve">      Vehicles</t>
  </si>
  <si>
    <t xml:space="preserve">   Total Fixed Assets</t>
  </si>
  <si>
    <t xml:space="preserve">   Other Assets</t>
  </si>
  <si>
    <t xml:space="preserve">      Loan Receivable Asset</t>
  </si>
  <si>
    <t xml:space="preserve">      Loan to Shareholder</t>
  </si>
  <si>
    <t xml:space="preserve">   Total Other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</si>
  <si>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</si>
  <si>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</si>
  <si>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</si>
  <si>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</si>
  <si>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Credit Cards</t>
  </si>
  <si>
    <t xml:space="preserve">            1907</t>
  </si>
  <si>
    <t xml:space="preserve">               Ben CC (1907)</t>
  </si>
  <si>
    <t xml:space="preserve">               Brendan CC (4835/3455)</t>
  </si>
  <si>
    <t xml:space="preserve">               Gabi CC (4835)</t>
  </si>
  <si>
    <t xml:space="preserve">            Total 1907</t>
  </si>
  <si>
    <t xml:space="preserve">         Total Credit Cards</t>
  </si>
  <si>
    <t xml:space="preserve">         Other Current Liabilities</t>
  </si>
  <si>
    <t xml:space="preserve">            LINE OF CREDIT (1004)</t>
  </si>
  <si>
    <t xml:space="preserve">            PPP Loan Forgivable</t>
  </si>
  <si>
    <t xml:space="preserve">         Total Other Current Liabilities</t>
  </si>
  <si>
    <t xml:space="preserve">      Total Current Liabilities</t>
  </si>
  <si>
    <t xml:space="preserve">      Long-Term Liabilities</t>
  </si>
  <si>
    <t xml:space="preserve">         Beniamin Liabilities</t>
  </si>
  <si>
    <t xml:space="preserve">         Due to Brendan Grama</t>
  </si>
  <si>
    <t xml:space="preserve">         Note payable - Tesla</t>
  </si>
  <si>
    <t xml:space="preserve">      Total Long-Term Liabilities</t>
  </si>
  <si>
    <t xml:space="preserve">   Total Liabilities</t>
  </si>
  <si>
    <t xml:space="preserve">   Equity</t>
  </si>
  <si>
    <t xml:space="preserve">      Beniamin Equity/Distribution</t>
  </si>
  <si>
    <t xml:space="preserve">      Capital Stock</t>
  </si>
  <si>
    <t xml:space="preserve">      Opening Balance Equity</t>
  </si>
  <si>
    <t xml:space="preserve">      Owner's Investment</t>
  </si>
  <si>
    <t xml:space="preserve">      Owner's Pay &amp; Personal Expenses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</si>
  <si>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</si>
  <si>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</si>
  <si>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</si>
  <si>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</si>
  <si>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Tuesday, Aug 05, 2025 10:45:38 AM GMT-7 - Cash Basis</t>
  </si>
  <si>
    <t>Advanced Machine Co, Inc</t>
  </si>
  <si>
    <t>Balance Sheet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</si>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</sst>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5"/>
  <sheetViews>
    <sheetView workbookViewId="0" tabSelected="true"/>
  </sheetViews>
  <sheetFormatPr defaultRowHeight="15.0"/>
  <cols>
    <col min="1" max="1" width="35.234375" customWidth="true"/>
    <col min="2" max="2" width="21.484375" customWidth="true"/>
  </cols>
  <sheetData>
    <row r="1">
      <c r="A1" s="9" t="s">
        <v>58</v>
      </c>
      <c r="B1"/>
    </row>
    <row r="2">
      <c r="A2" s="9" t="s">
        <v>59</v>
      </c>
      <c r="B2"/>
    </row>
    <row r="3">
      <c r="A3" s="10" t="s">
        <v>60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451.22</f>
        <v>0.0</v>
      </c>
    </row>
    <row r="10">
      <c r="A10" t="s" s="3">
        <v>5</v>
      </c>
      <c r="B10" t="n" s="5">
        <f>0.00</f>
        <v>0.0</v>
      </c>
    </row>
    <row r="11">
      <c r="A11" t="s" s="3">
        <v>6</v>
      </c>
      <c r="B11" t="n" s="5">
        <f>64178.16</f>
        <v>0.0</v>
      </c>
    </row>
    <row r="12">
      <c r="A12" t="s" s="3">
        <v>7</v>
      </c>
      <c r="B12" t="n" s="5">
        <f>0.69</f>
        <v>0.0</v>
      </c>
    </row>
    <row r="13">
      <c r="A13" t="s" s="3">
        <v>8</v>
      </c>
      <c r="B13" t="n" s="5">
        <f>0.00</f>
        <v>0.0</v>
      </c>
    </row>
    <row r="14">
      <c r="A14" t="s" s="3">
        <v>9</v>
      </c>
      <c r="B14" t="n" s="6">
        <f>((((B9)+(B10))+(B11))+(B12))+(B13)</f>
        <v>0.0</v>
      </c>
    </row>
    <row r="15">
      <c r="A15" t="s" s="3">
        <v>10</v>
      </c>
      <c r="B15" s="4"/>
    </row>
    <row r="16">
      <c r="A16" t="s" s="3">
        <v>11</v>
      </c>
      <c r="B16" t="n" s="5">
        <f>0.00</f>
        <v>0.0</v>
      </c>
    </row>
    <row r="17">
      <c r="A17" t="s" s="3">
        <v>12</v>
      </c>
      <c r="B17" t="n" s="5">
        <f>0.00</f>
        <v>0.0</v>
      </c>
    </row>
    <row r="18">
      <c r="A18" t="s" s="3">
        <v>13</v>
      </c>
      <c r="B18" t="n" s="6">
        <f>(B16)+(B17)</f>
        <v>0.0</v>
      </c>
    </row>
    <row r="19">
      <c r="A19" t="s" s="3">
        <v>14</v>
      </c>
      <c r="B19" t="n" s="6">
        <f>(B14)+(B18)</f>
        <v>0.0</v>
      </c>
    </row>
    <row r="20">
      <c r="A20" t="s" s="3">
        <v>15</v>
      </c>
      <c r="B20" s="4"/>
    </row>
    <row r="21">
      <c r="A21" t="s" s="3">
        <v>16</v>
      </c>
      <c r="B21" t="n" s="5">
        <f>-125848.00</f>
        <v>0.0</v>
      </c>
    </row>
    <row r="22">
      <c r="A22" t="s" s="3">
        <v>17</v>
      </c>
      <c r="B22" t="n" s="5">
        <f>56.62</f>
        <v>0.0</v>
      </c>
    </row>
    <row r="23">
      <c r="A23" t="s" s="3">
        <v>18</v>
      </c>
      <c r="B23" t="n" s="5">
        <f>132037.34</f>
        <v>0.0</v>
      </c>
    </row>
    <row r="24">
      <c r="A24" t="s" s="3">
        <v>19</v>
      </c>
      <c r="B24" t="n" s="5">
        <f>69995.98</f>
        <v>0.0</v>
      </c>
    </row>
    <row r="25">
      <c r="A25" t="s" s="3">
        <v>20</v>
      </c>
      <c r="B25" t="n" s="6">
        <f>(((B21)+(B22))+(B23))+(B24)</f>
        <v>0.0</v>
      </c>
    </row>
    <row r="26">
      <c r="A26" t="s" s="3">
        <v>21</v>
      </c>
      <c r="B26" s="4"/>
    </row>
    <row r="27">
      <c r="A27" t="s" s="3">
        <v>22</v>
      </c>
      <c r="B27" t="n" s="5">
        <f>6000.00</f>
        <v>0.0</v>
      </c>
    </row>
    <row r="28">
      <c r="A28" t="s" s="3">
        <v>23</v>
      </c>
      <c r="B28" t="n" s="5">
        <f>64114.49</f>
        <v>0.0</v>
      </c>
    </row>
    <row r="29">
      <c r="A29" t="s" s="3">
        <v>24</v>
      </c>
      <c r="B29" t="n" s="6">
        <f>(B27)+(B28)</f>
        <v>0.0</v>
      </c>
    </row>
    <row r="30">
      <c r="A30" t="s" s="3">
        <v>25</v>
      </c>
      <c r="B30" t="n" s="7">
        <f>((B19)+(B25))+(B29)</f>
        <v>0.0</v>
      </c>
    </row>
    <row r="31">
      <c r="A31" t="s" s="3">
        <v>26</v>
      </c>
      <c r="B31" s="4"/>
    </row>
    <row r="32">
      <c r="A32" t="s" s="3">
        <v>27</v>
      </c>
      <c r="B32" s="4"/>
    </row>
    <row r="33">
      <c r="A33" t="s" s="3">
        <v>28</v>
      </c>
      <c r="B33" s="4"/>
    </row>
    <row r="34">
      <c r="A34" t="s" s="3">
        <v>29</v>
      </c>
      <c r="B34" s="4"/>
    </row>
    <row r="35">
      <c r="A35" t="s" s="3">
        <v>30</v>
      </c>
      <c r="B35" t="n" s="5">
        <f>9340.02</f>
        <v>0.0</v>
      </c>
    </row>
    <row r="36">
      <c r="A36" t="s" s="3">
        <v>31</v>
      </c>
      <c r="B36" t="n" s="5">
        <f>-210973.13</f>
        <v>0.0</v>
      </c>
    </row>
    <row r="37">
      <c r="A37" t="s" s="3">
        <v>32</v>
      </c>
      <c r="B37" t="n" s="5">
        <f>79221.27</f>
        <v>0.0</v>
      </c>
    </row>
    <row r="38">
      <c r="A38" t="s" s="3">
        <v>33</v>
      </c>
      <c r="B38" t="n" s="5">
        <f>140394.98</f>
        <v>0.0</v>
      </c>
    </row>
    <row r="39">
      <c r="A39" t="s" s="3">
        <v>34</v>
      </c>
      <c r="B39" t="n" s="6">
        <f>(((B35)+(B36))+(B37))+(B38)</f>
        <v>0.0</v>
      </c>
    </row>
    <row r="40">
      <c r="A40" t="s" s="3">
        <v>35</v>
      </c>
      <c r="B40" t="n" s="6">
        <f>B39</f>
        <v>0.0</v>
      </c>
    </row>
    <row r="41">
      <c r="A41" t="s" s="3">
        <v>36</v>
      </c>
      <c r="B41" s="4"/>
    </row>
    <row r="42">
      <c r="A42" t="s" s="3">
        <v>37</v>
      </c>
      <c r="B42" t="n" s="5">
        <f>-87431.29</f>
        <v>0.0</v>
      </c>
    </row>
    <row r="43">
      <c r="A43" t="s" s="3">
        <v>38</v>
      </c>
      <c r="B43" t="n" s="5">
        <f>0.00</f>
        <v>0.0</v>
      </c>
    </row>
    <row r="44">
      <c r="A44" t="s" s="3">
        <v>39</v>
      </c>
      <c r="B44" t="n" s="6">
        <f>(B42)+(B43)</f>
        <v>0.0</v>
      </c>
    </row>
    <row r="45">
      <c r="A45" t="s" s="3">
        <v>40</v>
      </c>
      <c r="B45" t="n" s="6">
        <f>(B40)+(B44)</f>
        <v>0.0</v>
      </c>
    </row>
    <row r="46">
      <c r="A46" t="s" s="3">
        <v>41</v>
      </c>
      <c r="B46" s="4"/>
    </row>
    <row r="47">
      <c r="A47" t="s" s="3">
        <v>42</v>
      </c>
      <c r="B47" t="n" s="5">
        <f>0.00</f>
        <v>0.0</v>
      </c>
    </row>
    <row r="48">
      <c r="A48" t="s" s="3">
        <v>43</v>
      </c>
      <c r="B48" t="n" s="5">
        <f>10560.00</f>
        <v>0.0</v>
      </c>
    </row>
    <row r="49">
      <c r="A49" t="s" s="3">
        <v>44</v>
      </c>
      <c r="B49" t="n" s="5">
        <f>35811.43</f>
        <v>0.0</v>
      </c>
    </row>
    <row r="50">
      <c r="A50" t="s" s="3">
        <v>45</v>
      </c>
      <c r="B50" t="n" s="6">
        <f>((B47)+(B48))+(B49)</f>
        <v>0.0</v>
      </c>
    </row>
    <row r="51">
      <c r="A51" t="s" s="3">
        <v>46</v>
      </c>
      <c r="B51" t="n" s="6">
        <f>(B45)+(B50)</f>
        <v>0.0</v>
      </c>
    </row>
    <row r="52">
      <c r="A52" t="s" s="3">
        <v>47</v>
      </c>
      <c r="B52" s="4"/>
    </row>
    <row r="53">
      <c r="A53" t="s" s="3">
        <v>48</v>
      </c>
      <c r="B53" t="n" s="5">
        <f>-18585.80</f>
        <v>0.0</v>
      </c>
    </row>
    <row r="54">
      <c r="A54" t="s" s="3">
        <v>49</v>
      </c>
      <c r="B54" t="n" s="5">
        <f>1000.00</f>
        <v>0.0</v>
      </c>
    </row>
    <row r="55">
      <c r="A55" t="s" s="3">
        <v>50</v>
      </c>
      <c r="B55" t="n" s="5">
        <f>-2167.17</f>
        <v>0.0</v>
      </c>
    </row>
    <row r="56">
      <c r="A56" t="s" s="3">
        <v>51</v>
      </c>
      <c r="B56" t="n" s="5">
        <f>10581.84</f>
        <v>0.0</v>
      </c>
    </row>
    <row r="57">
      <c r="A57" t="s" s="3">
        <v>52</v>
      </c>
      <c r="B57" t="n" s="5">
        <f>-30789.21</f>
        <v>0.0</v>
      </c>
    </row>
    <row r="58">
      <c r="A58" t="s" s="3">
        <v>53</v>
      </c>
      <c r="B58" t="n" s="5">
        <f>-216118.08</f>
        <v>0.0</v>
      </c>
    </row>
    <row r="59">
      <c r="A59" t="s" s="3">
        <v>54</v>
      </c>
      <c r="B59" t="n" s="5">
        <f>490141.64</f>
        <v>0.0</v>
      </c>
    </row>
    <row r="60">
      <c r="A60" t="s" s="3">
        <v>55</v>
      </c>
      <c r="B60" t="n" s="6">
        <f>((((((B53)+(B54))+(B55))+(B56))+(B57))+(B58))+(B59)</f>
        <v>0.0</v>
      </c>
    </row>
    <row r="61">
      <c r="A61" t="s" s="3">
        <v>56</v>
      </c>
      <c r="B61" t="n" s="7">
        <f>(B51)+(B60)</f>
        <v>0.0</v>
      </c>
    </row>
    <row r="62">
      <c r="A62" s="3"/>
      <c r="B62" s="4"/>
    </row>
    <row r="65">
      <c r="A65" s="8" t="s">
        <v>57</v>
      </c>
      <c r="B65"/>
    </row>
  </sheetData>
  <mergeCells count="4">
    <mergeCell ref="A65:B65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2025-08-05T17:45:38Z</dcterms:created>
  <dc:creator>Apache POI</dc:creator>
</cp:coreProperties>
</file>