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<sst xmlns="http://schemas.openxmlformats.org/spreadsheetml/2006/main" count="84" uniqueCount="84">
  <si>
    <t>Total</t>
  </si>
  <si>
    <t>Income</t>
  </si>
  <si>
    <t xml:space="preserve">   Discounts given</t>
  </si>
  <si>
    <t xml:space="preserve">   Sales</t>
  </si>
  <si>
    <t xml:space="preserve">   Shipping Income</t>
  </si>
  <si>
    <t xml:space="preserve">   Unapplied Cash Payment Income</t>
  </si>
  <si>
    <t xml:space="preserve">   Uncategorized Income</t>
  </si>
  <si>
    <t>Total Income</t>
  </si>
  <si>
    <t>Cost of Goods Sold</t>
  </si>
  <si>
    <t xml:space="preserve">   Cost of Goods Sold</t>
  </si>
  <si>
    <t xml:space="preserve">      Labor</t>
  </si>
  <si>
    <t xml:space="preserve">      Machine Consumables</t>
  </si>
  <si>
    <t xml:space="preserve">      Manufacturing Overhead</t>
  </si>
  <si>
    <t xml:space="preserve">      Raw Material</t>
  </si>
  <si>
    <t xml:space="preserve">      Secondary Operations</t>
  </si>
  <si>
    <t xml:space="preserve">      Shipping</t>
  </si>
  <si>
    <t xml:space="preserve">      Tax</t>
  </si>
  <si>
    <t xml:space="preserve">   Total Cost of Goods Sold</t>
  </si>
  <si>
    <t>Total Cost of Goods Sold</t>
  </si>
  <si>
    <t>Gross Profit</t>
  </si>
  <si>
    <t>Expenses</t>
  </si>
  <si>
    <t xml:space="preserve">   Advertising &amp; Marketing</t>
  </si>
  <si>
    <t xml:space="preserve">   Bad Debts</t>
  </si>
  <si>
    <t xml:space="preserve">   Bank Charges &amp; Fees</t>
  </si>
  <si>
    <t xml:space="preserve">   Car &amp; Truck</t>
  </si>
  <si>
    <t xml:space="preserve">   Contractors</t>
  </si>
  <si>
    <t xml:space="preserve">   Contribution</t>
  </si>
  <si>
    <t xml:space="preserve">   Depreciation</t>
  </si>
  <si>
    <t xml:space="preserve">   Employee Offerings</t>
  </si>
  <si>
    <t xml:space="preserve">   Equipment</t>
  </si>
  <si>
    <t xml:space="preserve">   Equipment Rental</t>
  </si>
  <si>
    <t xml:space="preserve">   Insurance</t>
  </si>
  <si>
    <t xml:space="preserve">      Workers Compensation</t>
  </si>
  <si>
    <t xml:space="preserve">   Total Insurance</t>
  </si>
  <si>
    <t xml:space="preserve">   Interest Paid</t>
  </si>
  <si>
    <t xml:space="preserve">   Job Supplies</t>
  </si>
  <si>
    <t xml:space="preserve">   Legal &amp; Professional Services</t>
  </si>
  <si>
    <t xml:space="preserve">      Accounting</t>
  </si>
  <si>
    <t xml:space="preserve">   Total Legal &amp; Professional Services</t>
  </si>
  <si>
    <t xml:space="preserve">   Meals</t>
  </si>
  <si>
    <t xml:space="preserve">   Melio Credit card fee</t>
  </si>
  <si>
    <t xml:space="preserve">   Melio Credit card fee ( 95 )</t>
  </si>
  <si>
    <t xml:space="preserve">   Melio Credit card fee ( 97 )</t>
  </si>
  <si>
    <t xml:space="preserve">   Office Supplies &amp; Software</t>
  </si>
  <si>
    <t xml:space="preserve">   Other Business Expenses</t>
  </si>
  <si>
    <t xml:space="preserve">   Payroll Expenses</t>
  </si>
  <si>
    <t xml:space="preserve">      401k</t>
  </si>
  <si>
    <t xml:space="preserve">      Fees</t>
  </si>
  <si>
    <t xml:space="preserve">      Officers' salaries</t>
  </si>
  <si>
    <t xml:space="preserve">   Total Payroll Expenses</t>
  </si>
  <si>
    <t xml:space="preserve">   Purchases</t>
  </si>
  <si>
    <t xml:space="preserve">   QuickBooks Payments Fees</t>
  </si>
  <si>
    <t xml:space="preserve">   Reimbursable Expenses</t>
  </si>
  <si>
    <t xml:space="preserve">   Rent &amp; Lease</t>
  </si>
  <si>
    <t xml:space="preserve">   Repairs &amp; Maintenance</t>
  </si>
  <si>
    <t xml:space="preserve">   Taxes &amp; Licenses</t>
  </si>
  <si>
    <t xml:space="preserve">   Tools</t>
  </si>
  <si>
    <t xml:space="preserve">   Training</t>
  </si>
  <si>
    <t xml:space="preserve">   Travel</t>
  </si>
  <si>
    <t xml:space="preserve">   Unapplied Cash Bill Payment Expense</t>
  </si>
  <si>
    <t xml:space="preserve">   Uncategorized Expense</t>
  </si>
  <si>
    <t xml:space="preserve">   Utilities</t>
  </si>
  <si>
    <t xml:space="preserve">   Vehicle-Related</t>
  </si>
  <si>
    <t>Total Expenses</t>
  </si>
  <si>
    <t>Net Operating Income</t>
  </si>
  <si>
    <t>Other Income</t>
  </si>
  <si>
    <t xml:space="preserve">   Non-taxable Income</t>
  </si>
  <si>
    <t xml:space="preserve">   Sales Tax Refund</t>
  </si>
  <si>
    <t>Total Other Income</t>
  </si>
  <si>
    <t>Other Expenses</t>
  </si>
  <si>
    <t xml:space="preserve">   Other Miscellaneous Expense</t>
  </si>
  <si>
    <t xml:space="preserve">      Auto Insurance</t>
  </si>
  <si>
    <t xml:space="preserve">      Gas and Fuel</t>
  </si>
  <si>
    <t xml:space="preserve">      Vehicle Lease</t>
  </si>
  <si>
    <t xml:space="preserve">      Vehicle Repairs</t>
  </si>
  <si>
    <t xml:space="preserve">      Wash and Road Services</t>
  </si>
  <si>
    <t xml:space="preserve">   Total Other Miscellaneous Expense</t>
  </si>
  <si>
    <t>Total Other Expenses</t>
  </si>
  <si>
    <t>Net Other Income</t>
  </si>
  <si>
    <t>Net Income</t>
  </si>
  <si>
    <t>Tuesday, Aug 05, 2025 10:45:38 AM GMT-7 - Cash Basis</t>
  </si>
  <si>
    <t>Advanced Machine Co, Inc</t>
  </si>
  <si>
    <t>Profit and Loss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</si>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</sst>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/>
  </sheetViews>
  <sheetFormatPr defaultRowHeight="15.0"/>
  <cols>
    <col min="1" max="1" width="33.515625" customWidth="true"/>
    <col min="2" max="2" width="21.484375" customWidth="true"/>
  </cols>
  <sheetData>
    <row r="1">
      <c r="A1" s="9" t="s">
        <v>81</v>
      </c>
      <c r="B1"/>
    </row>
    <row r="2">
      <c r="A2" s="9" t="s">
        <v>82</v>
      </c>
      <c r="B2"/>
    </row>
    <row r="3">
      <c r="A3" s="10" t="s">
        <v>83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-1249.15</f>
        <v>0.0</v>
      </c>
    </row>
    <row r="8">
      <c r="A8" t="s" s="3">
        <v>3</v>
      </c>
      <c r="B8" t="n" s="5">
        <f>5448684.44</f>
        <v>0.0</v>
      </c>
    </row>
    <row r="9">
      <c r="A9" t="s" s="3">
        <v>4</v>
      </c>
      <c r="B9" t="n" s="5">
        <f>360.88</f>
        <v>0.0</v>
      </c>
    </row>
    <row r="10">
      <c r="A10" t="s" s="3">
        <v>5</v>
      </c>
      <c r="B10" t="n" s="5">
        <f>303.00</f>
        <v>0.0</v>
      </c>
    </row>
    <row r="11">
      <c r="A11" t="s" s="3">
        <v>6</v>
      </c>
      <c r="B11" t="n" s="5">
        <f>12893.82</f>
        <v>0.0</v>
      </c>
    </row>
    <row r="12">
      <c r="A12" t="s" s="3">
        <v>7</v>
      </c>
      <c r="B12" t="n" s="6">
        <f>((((B7)+(B8))+(B9))+(B10))+(B11)</f>
        <v>0.0</v>
      </c>
    </row>
    <row r="13">
      <c r="A13" t="s" s="3">
        <v>8</v>
      </c>
      <c r="B13" s="4"/>
    </row>
    <row r="14">
      <c r="A14" t="s" s="3">
        <v>9</v>
      </c>
      <c r="B14" t="n" s="5">
        <f>286703.95</f>
        <v>0.0</v>
      </c>
    </row>
    <row r="15">
      <c r="A15" t="s" s="3">
        <v>10</v>
      </c>
      <c r="B15" t="n" s="5">
        <f>1933252.04</f>
        <v>0.0</v>
      </c>
    </row>
    <row r="16">
      <c r="A16" t="s" s="3">
        <v>11</v>
      </c>
      <c r="B16" t="n" s="5">
        <f>23961.13</f>
        <v>0.0</v>
      </c>
    </row>
    <row r="17">
      <c r="A17" t="s" s="3">
        <v>12</v>
      </c>
      <c r="B17" t="n" s="5">
        <f>9861.68</f>
        <v>0.0</v>
      </c>
    </row>
    <row r="18">
      <c r="A18" t="s" s="3">
        <v>13</v>
      </c>
      <c r="B18" t="n" s="5">
        <f>533201.99</f>
        <v>0.0</v>
      </c>
    </row>
    <row r="19">
      <c r="A19" t="s" s="3">
        <v>14</v>
      </c>
      <c r="B19" t="n" s="5">
        <f>490513.59</f>
        <v>0.0</v>
      </c>
    </row>
    <row r="20">
      <c r="A20" t="s" s="3">
        <v>15</v>
      </c>
      <c r="B20" t="n" s="5">
        <f>24173.15</f>
        <v>0.0</v>
      </c>
    </row>
    <row r="21">
      <c r="A21" t="s" s="3">
        <v>16</v>
      </c>
      <c r="B21" t="n" s="5">
        <f>489628.33</f>
        <v>0.0</v>
      </c>
    </row>
    <row r="22">
      <c r="A22" t="s" s="3">
        <v>17</v>
      </c>
      <c r="B22" t="n" s="6">
        <f>(((((((B14)+(B15))+(B16))+(B17))+(B18))+(B19))+(B20))+(B21)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t="n" s="6">
        <f>(B12)-(B23)</f>
        <v>0.0</v>
      </c>
    </row>
    <row r="25">
      <c r="A25" t="s" s="3">
        <v>20</v>
      </c>
      <c r="B25" s="4"/>
    </row>
    <row r="26">
      <c r="A26" t="s" s="3">
        <v>21</v>
      </c>
      <c r="B26" t="n" s="5">
        <f>347.99</f>
        <v>0.0</v>
      </c>
    </row>
    <row r="27">
      <c r="A27" t="s" s="3">
        <v>22</v>
      </c>
      <c r="B27" t="n" s="5">
        <f>374.60</f>
        <v>0.0</v>
      </c>
    </row>
    <row r="28">
      <c r="A28" t="s" s="3">
        <v>23</v>
      </c>
      <c r="B28" t="n" s="5">
        <f>2450.41</f>
        <v>0.0</v>
      </c>
    </row>
    <row r="29">
      <c r="A29" t="s" s="3">
        <v>24</v>
      </c>
      <c r="B29" t="n" s="5">
        <f>9569.98</f>
        <v>0.0</v>
      </c>
    </row>
    <row r="30">
      <c r="A30" t="s" s="3">
        <v>25</v>
      </c>
      <c r="B30" t="n" s="5">
        <f>1000.00</f>
        <v>0.0</v>
      </c>
    </row>
    <row r="31">
      <c r="A31" t="s" s="3">
        <v>26</v>
      </c>
      <c r="B31" t="n" s="5">
        <f>7669.65</f>
        <v>0.0</v>
      </c>
    </row>
    <row r="32">
      <c r="A32" t="s" s="3">
        <v>27</v>
      </c>
      <c r="B32" t="n" s="5">
        <f>67877.00</f>
        <v>0.0</v>
      </c>
    </row>
    <row r="33">
      <c r="A33" t="s" s="3">
        <v>28</v>
      </c>
      <c r="B33" t="n" s="5">
        <f>15970.41</f>
        <v>0.0</v>
      </c>
    </row>
    <row r="34">
      <c r="A34" t="s" s="3">
        <v>29</v>
      </c>
      <c r="B34" t="n" s="5">
        <f>36420.50</f>
        <v>0.0</v>
      </c>
    </row>
    <row r="35">
      <c r="A35" t="s" s="3">
        <v>30</v>
      </c>
      <c r="B35" t="n" s="5">
        <f>1139.55</f>
        <v>0.0</v>
      </c>
    </row>
    <row r="36">
      <c r="A36" t="s" s="3">
        <v>31</v>
      </c>
      <c r="B36" t="n" s="5">
        <f>113236.25</f>
        <v>0.0</v>
      </c>
    </row>
    <row r="37">
      <c r="A37" t="s" s="3">
        <v>32</v>
      </c>
      <c r="B37" t="n" s="5">
        <f>59035.26</f>
        <v>0.0</v>
      </c>
    </row>
    <row r="38">
      <c r="A38" t="s" s="3">
        <v>33</v>
      </c>
      <c r="B38" t="n" s="6">
        <f>(B36)+(B37)</f>
        <v>0.0</v>
      </c>
    </row>
    <row r="39">
      <c r="A39" t="s" s="3">
        <v>34</v>
      </c>
      <c r="B39" t="n" s="5">
        <f>11317.46</f>
        <v>0.0</v>
      </c>
    </row>
    <row r="40">
      <c r="A40" t="s" s="3">
        <v>35</v>
      </c>
      <c r="B40" t="n" s="5">
        <f>13517.19</f>
        <v>0.0</v>
      </c>
    </row>
    <row r="41">
      <c r="A41" t="s" s="3">
        <v>36</v>
      </c>
      <c r="B41" s="4"/>
    </row>
    <row r="42">
      <c r="A42" t="s" s="3">
        <v>37</v>
      </c>
      <c r="B42" t="n" s="5">
        <f>15877.50</f>
        <v>0.0</v>
      </c>
    </row>
    <row r="43">
      <c r="A43" t="s" s="3">
        <v>38</v>
      </c>
      <c r="B43" t="n" s="6">
        <f>(B41)+(B42)</f>
        <v>0.0</v>
      </c>
    </row>
    <row r="44">
      <c r="A44" t="s" s="3">
        <v>39</v>
      </c>
      <c r="B44" t="n" s="5">
        <f>54634.57</f>
        <v>0.0</v>
      </c>
    </row>
    <row r="45">
      <c r="A45" t="s" s="3">
        <v>40</v>
      </c>
      <c r="B45" t="n" s="5">
        <f>174.00</f>
        <v>0.0</v>
      </c>
    </row>
    <row r="46">
      <c r="A46" t="s" s="3">
        <v>41</v>
      </c>
      <c r="B46" t="n" s="5">
        <f>1.50</f>
        <v>0.0</v>
      </c>
    </row>
    <row r="47">
      <c r="A47" t="s" s="3">
        <v>42</v>
      </c>
      <c r="B47" t="n" s="5">
        <f>4.50</f>
        <v>0.0</v>
      </c>
    </row>
    <row r="48">
      <c r="A48" t="s" s="3">
        <v>43</v>
      </c>
      <c r="B48" t="n" s="5">
        <f>27625.02</f>
        <v>0.0</v>
      </c>
    </row>
    <row r="49">
      <c r="A49" t="s" s="3">
        <v>44</v>
      </c>
      <c r="B49" t="n" s="5">
        <f>596.64</f>
        <v>0.0</v>
      </c>
    </row>
    <row r="50">
      <c r="A50" t="s" s="3">
        <v>45</v>
      </c>
      <c r="B50" s="4"/>
    </row>
    <row r="51">
      <c r="A51" t="s" s="3">
        <v>46</v>
      </c>
      <c r="B51" t="n" s="5">
        <f>32575.00</f>
        <v>0.0</v>
      </c>
    </row>
    <row r="52">
      <c r="A52" t="s" s="3">
        <v>47</v>
      </c>
      <c r="B52" t="n" s="5">
        <f>32633.30</f>
        <v>0.0</v>
      </c>
    </row>
    <row r="53">
      <c r="A53" t="s" s="3">
        <v>48</v>
      </c>
      <c r="B53" t="n" s="5">
        <f>182500.00</f>
        <v>0.0</v>
      </c>
    </row>
    <row r="54">
      <c r="A54" t="s" s="3">
        <v>49</v>
      </c>
      <c r="B54" t="n" s="6">
        <f>(((B50)+(B51))+(B52))+(B53)</f>
        <v>0.0</v>
      </c>
    </row>
    <row r="55">
      <c r="A55" t="s" s="3">
        <v>50</v>
      </c>
      <c r="B55" t="n" s="5">
        <f>320.00</f>
        <v>0.0</v>
      </c>
    </row>
    <row r="56">
      <c r="A56" t="s" s="3">
        <v>51</v>
      </c>
      <c r="B56" t="n" s="5">
        <f>0.00</f>
        <v>0.0</v>
      </c>
    </row>
    <row r="57">
      <c r="A57" t="s" s="3">
        <v>52</v>
      </c>
      <c r="B57" t="n" s="5">
        <f>280.00</f>
        <v>0.0</v>
      </c>
    </row>
    <row r="58">
      <c r="A58" t="s" s="3">
        <v>53</v>
      </c>
      <c r="B58" t="n" s="5">
        <f>130465.00</f>
        <v>0.0</v>
      </c>
    </row>
    <row r="59">
      <c r="A59" t="s" s="3">
        <v>54</v>
      </c>
      <c r="B59" t="n" s="5">
        <f>34981.07</f>
        <v>0.0</v>
      </c>
    </row>
    <row r="60">
      <c r="A60" t="s" s="3">
        <v>55</v>
      </c>
      <c r="B60" t="n" s="5">
        <f>5010.25</f>
        <v>0.0</v>
      </c>
    </row>
    <row r="61">
      <c r="A61" t="s" s="3">
        <v>56</v>
      </c>
      <c r="B61" t="n" s="5">
        <f>100986.05</f>
        <v>0.0</v>
      </c>
    </row>
    <row r="62">
      <c r="A62" t="s" s="3">
        <v>57</v>
      </c>
      <c r="B62" t="n" s="5">
        <f>230.00</f>
        <v>0.0</v>
      </c>
    </row>
    <row r="63">
      <c r="A63" t="s" s="3">
        <v>58</v>
      </c>
      <c r="B63" t="n" s="5">
        <f>13414.64</f>
        <v>0.0</v>
      </c>
    </row>
    <row r="64">
      <c r="A64" t="s" s="3">
        <v>59</v>
      </c>
      <c r="B64" t="n" s="5">
        <f>439.97</f>
        <v>0.0</v>
      </c>
    </row>
    <row r="65">
      <c r="A65" t="s" s="3">
        <v>60</v>
      </c>
      <c r="B65" t="n" s="5">
        <f>183.12</f>
        <v>0.0</v>
      </c>
    </row>
    <row r="66">
      <c r="A66" t="s" s="3">
        <v>61</v>
      </c>
      <c r="B66" t="n" s="5">
        <f>97869.49</f>
        <v>0.0</v>
      </c>
    </row>
    <row r="67">
      <c r="A67" t="s" s="3">
        <v>62</v>
      </c>
      <c r="B67" t="n" s="5">
        <f>1713.23</f>
        <v>0.0</v>
      </c>
    </row>
    <row r="68">
      <c r="A68" t="s" s="3">
        <v>63</v>
      </c>
      <c r="B68" t="n" s="6">
        <f>(((((((((((((((((((((((((((((((((B26)+(B27))+(B28))+(B29))+(B30))+(B31))+(B32))+(B33))+(B34))+(B35))+(B38))+(B39))+(B40))+(B43))+(B44))+(B45))+(B46))+(B47))+(B48))+(B49))+(B54))+(B55))+(B56))+(B57))+(B58))+(B59))+(B60))+(B61))+(B62))+(B63))+(B64))+(B65))+(B66))+(B67)</f>
        <v>0.0</v>
      </c>
    </row>
    <row r="69">
      <c r="A69" t="s" s="3">
        <v>64</v>
      </c>
      <c r="B69" t="n" s="6">
        <f>(B24)-(B68)</f>
        <v>0.0</v>
      </c>
    </row>
    <row r="70">
      <c r="A70" t="s" s="3">
        <v>65</v>
      </c>
      <c r="B70" s="4"/>
    </row>
    <row r="71">
      <c r="A71" t="s" s="3">
        <v>66</v>
      </c>
      <c r="B71" t="n" s="5">
        <f>153089.37</f>
        <v>0.0</v>
      </c>
    </row>
    <row r="72">
      <c r="A72" t="s" s="3">
        <v>67</v>
      </c>
      <c r="B72" t="n" s="5">
        <f>2877.01</f>
        <v>0.0</v>
      </c>
    </row>
    <row r="73">
      <c r="A73" t="s" s="3">
        <v>68</v>
      </c>
      <c r="B73" t="n" s="6">
        <f>(B71)+(B72)</f>
        <v>0.0</v>
      </c>
    </row>
    <row r="74">
      <c r="A74" t="s" s="3">
        <v>69</v>
      </c>
      <c r="B74" s="4"/>
    </row>
    <row r="75">
      <c r="A75" t="s" s="3">
        <v>70</v>
      </c>
      <c r="B75" t="n" s="5">
        <f>9022.22</f>
        <v>0.0</v>
      </c>
    </row>
    <row r="76">
      <c r="A76" t="s" s="3">
        <v>71</v>
      </c>
      <c r="B76" t="n" s="5">
        <f>20858.44</f>
        <v>0.0</v>
      </c>
    </row>
    <row r="77">
      <c r="A77" t="s" s="3">
        <v>72</v>
      </c>
      <c r="B77" t="n" s="5">
        <f>34107.26</f>
        <v>0.0</v>
      </c>
    </row>
    <row r="78">
      <c r="A78" t="s" s="3">
        <v>73</v>
      </c>
      <c r="B78" t="n" s="5">
        <f>188325.88</f>
        <v>0.0</v>
      </c>
    </row>
    <row r="79">
      <c r="A79" t="s" s="3">
        <v>74</v>
      </c>
      <c r="B79" t="n" s="5">
        <f>9571.26</f>
        <v>0.0</v>
      </c>
    </row>
    <row r="80">
      <c r="A80" t="s" s="3">
        <v>75</v>
      </c>
      <c r="B80" t="n" s="5">
        <f>1195.71</f>
        <v>0.0</v>
      </c>
    </row>
    <row r="81">
      <c r="A81" t="s" s="3">
        <v>76</v>
      </c>
      <c r="B81" t="n" s="6">
        <f>(((((B75)+(B76))+(B77))+(B78))+(B79))+(B80)</f>
        <v>0.0</v>
      </c>
    </row>
    <row r="82">
      <c r="A82" t="s" s="3">
        <v>77</v>
      </c>
      <c r="B82" t="n" s="6">
        <f>B81</f>
        <v>0.0</v>
      </c>
    </row>
    <row r="83">
      <c r="A83" t="s" s="3">
        <v>78</v>
      </c>
      <c r="B83" t="n" s="6">
        <f>(B73)-(B82)</f>
        <v>0.0</v>
      </c>
    </row>
    <row r="84">
      <c r="A84" t="s" s="3">
        <v>79</v>
      </c>
      <c r="B84" t="n" s="7">
        <f>(B69)+(B83)</f>
        <v>0.0</v>
      </c>
    </row>
    <row r="85">
      <c r="A85" s="3"/>
      <c r="B85" s="4"/>
    </row>
    <row r="88">
      <c r="A88" s="8" t="s">
        <v>80</v>
      </c>
      <c r="B88"/>
    </row>
  </sheetData>
  <mergeCells count="4">
    <mergeCell ref="A88:B88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2025-08-05T17:45:38Z</dcterms:created>
  <dc:creator>Apache POI</dc:creator>
</cp:coreProperties>
</file>