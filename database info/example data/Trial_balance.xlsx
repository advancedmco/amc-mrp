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Balance" r:id="rId3" sheetId="1"/>
  </sheets>
</workbook>
</file>

<file path=xl/sharedStrings.xml><?xml version="1.0" encoding="utf-8"?>
<sst xmlns="http://schemas.openxmlformats.org/spreadsheetml/2006/main" count="93" uniqueCount="93">
  <si>
    <t>Debit</t>
  </si>
  <si>
    <t>Credit</t>
  </si>
  <si>
    <t>Amazon Credit</t>
  </si>
  <si>
    <t>Barter Services</t>
  </si>
  <si>
    <t>BUSINESS CLASSIC (0558)</t>
  </si>
  <si>
    <t>BUSINESS SAVINGS (2473)</t>
  </si>
  <si>
    <t>FAM BUSINESS CHECKING (7802)</t>
  </si>
  <si>
    <t>Uncategorized Asset</t>
  </si>
  <si>
    <t>Undeposited Funds</t>
  </si>
  <si>
    <t>Accumulated Depreciation</t>
  </si>
  <si>
    <t>Infrastructure</t>
  </si>
  <si>
    <t>Machinery</t>
  </si>
  <si>
    <t>Vehicles</t>
  </si>
  <si>
    <t>Loan Receivable Asset</t>
  </si>
  <si>
    <t>Loan to Shareholder</t>
  </si>
  <si>
    <t>1907</t>
  </si>
  <si>
    <t>1907:Ben CC (1907)</t>
  </si>
  <si>
    <t>1907:Brendan CC (4835/3455)</t>
  </si>
  <si>
    <t>1907:Gabi CC (4835)</t>
  </si>
  <si>
    <t>LINE OF CREDIT (1004)</t>
  </si>
  <si>
    <t>PPP Loan Forgivable</t>
  </si>
  <si>
    <t>Beniamin Liabilities</t>
  </si>
  <si>
    <t>Due to Brendan Grama</t>
  </si>
  <si>
    <t>Note payable - Tesla</t>
  </si>
  <si>
    <t>Beniamin Equity/Distribution</t>
  </si>
  <si>
    <t>Capital Stock</t>
  </si>
  <si>
    <t>Opening Balance Equity</t>
  </si>
  <si>
    <t>Owner's Investment</t>
  </si>
  <si>
    <t>Owner's Pay &amp; Personal Expenses</t>
  </si>
  <si>
    <t>Retained Earnings</t>
  </si>
  <si>
    <t>Discounts given</t>
  </si>
  <si>
    <t>Sales</t>
  </si>
  <si>
    <t>Shipping Income</t>
  </si>
  <si>
    <t>Unapplied Cash Payment Income</t>
  </si>
  <si>
    <t>Uncategorized Income</t>
  </si>
  <si>
    <t>Cost of Goods Sold</t>
  </si>
  <si>
    <t>Cost of Goods Sold:Labor</t>
  </si>
  <si>
    <t>Cost of Goods Sold:Machine Consumables</t>
  </si>
  <si>
    <t>Cost of Goods Sold:Manufacturing Overhead</t>
  </si>
  <si>
    <t>Cost of Goods Sold:Raw Material</t>
  </si>
  <si>
    <t>Cost of Goods Sold:Secondary Operations</t>
  </si>
  <si>
    <t>Cost of Goods Sold:Shipping</t>
  </si>
  <si>
    <t>Cost of Goods Sold:Tax</t>
  </si>
  <si>
    <t>Advertising &amp; Marketing</t>
  </si>
  <si>
    <t>Bad Debts</t>
  </si>
  <si>
    <t>Bank Charges &amp; Fees</t>
  </si>
  <si>
    <t>Car &amp; Truck</t>
  </si>
  <si>
    <t>Contractors</t>
  </si>
  <si>
    <t>Contribution</t>
  </si>
  <si>
    <t>Depreciation</t>
  </si>
  <si>
    <t>Employee Offerings</t>
  </si>
  <si>
    <t>Equipment</t>
  </si>
  <si>
    <t>Equipment Rental</t>
  </si>
  <si>
    <t>Insurance</t>
  </si>
  <si>
    <t>Insurance:Workers Compensation</t>
  </si>
  <si>
    <t>Interest Paid</t>
  </si>
  <si>
    <t>Job Supplies</t>
  </si>
  <si>
    <t>Legal &amp; Professional Services:Accounting</t>
  </si>
  <si>
    <t>Meals</t>
  </si>
  <si>
    <t>Melio Credit card fee</t>
  </si>
  <si>
    <t>Melio Credit card fee ( 95 )</t>
  </si>
  <si>
    <t>Melio Credit card fee ( 97 )</t>
  </si>
  <si>
    <t>Office Supplies &amp; Software</t>
  </si>
  <si>
    <t>Other Business Expenses</t>
  </si>
  <si>
    <t>Payroll Expenses:401k</t>
  </si>
  <si>
    <t>Payroll Expenses:Fees</t>
  </si>
  <si>
    <t>Payroll Expenses:Officers' salaries</t>
  </si>
  <si>
    <t>Purchases</t>
  </si>
  <si>
    <t>QuickBooks Payments Fees</t>
  </si>
  <si>
    <t>Reimbursable Expenses</t>
  </si>
  <si>
    <t>Rent &amp; Lease</t>
  </si>
  <si>
    <t>Repairs &amp; Maintenance</t>
  </si>
  <si>
    <t>Taxes &amp; Licenses</t>
  </si>
  <si>
    <t>Tools</t>
  </si>
  <si>
    <t>Training</t>
  </si>
  <si>
    <t>Travel</t>
  </si>
  <si>
    <t>Unapplied Cash Bill Payment Expense</t>
  </si>
  <si>
    <t>Uncategorized Expense</t>
  </si>
  <si>
    <t>Utilities</t>
  </si>
  <si>
    <t>Vehicle-Related</t>
  </si>
  <si>
    <t>Non-taxable Income</t>
  </si>
  <si>
    <t>Sales Tax Refund</t>
  </si>
  <si>
    <t>Other Miscellaneous Expense</t>
  </si>
  <si>
    <t>Other Miscellaneous Expense:Auto Insurance</t>
  </si>
  <si>
    <t>Other Miscellaneous Expense:Gas and Fuel</t>
  </si>
  <si>
    <t>Other Miscellaneous Expense:Vehicle Lease</t>
  </si>
  <si>
    <t>Other Miscellaneous Expense:Vehicle Repairs</t>
  </si>
  <si>
    <t>Other Miscellaneous Expense:Wash and Road Services</t>
  </si>
  <si>
    <t>TOTAL</t>
  </si>
  <si>
    <t>Tuesday, Aug 05, 2025 10:45:38 AM GMT-7 - Cash Basis</t>
  </si>
  <si>
    <t>Advanced Machine Co, Inc</t>
  </si>
  <si>
    <t>Trial Balance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</si>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</sst>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4" fontId="3" fillId="0" borderId="0" xfId="0" applyNumberFormat="true" applyFont="true">
      <alignment wrapText="true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6"/>
  <sheetViews>
    <sheetView workbookViewId="0" tabSelected="true"/>
  </sheetViews>
  <sheetFormatPr defaultRowHeight="15.0"/>
  <cols>
    <col min="1" max="1" width="43.828125" customWidth="true"/>
    <col min="2" max="2" width="14.609375" customWidth="true"/>
    <col min="3" max="3" width="14.609375" customWidth="true"/>
  </cols>
  <sheetData>
    <row r="1">
      <c r="A1" s="8" t="s">
        <v>90</v>
      </c>
      <c r="B1"/>
      <c r="C1"/>
    </row>
    <row r="2">
      <c r="A2" s="8" t="s">
        <v>91</v>
      </c>
      <c r="B2"/>
      <c r="C2"/>
    </row>
    <row r="3">
      <c r="A3" s="9" t="s">
        <v>92</v>
      </c>
      <c r="B3"/>
      <c r="C3"/>
    </row>
    <row r="5">
      <c r="A5" s="1"/>
      <c r="B5" t="s" s="2">
        <v>0</v>
      </c>
      <c r="C5" t="s" s="2">
        <v>1</v>
      </c>
    </row>
    <row r="6">
      <c r="A6" t="s" s="3">
        <v>2</v>
      </c>
      <c r="B6" t="n" s="4">
        <f>451.22</f>
        <v>0.0</v>
      </c>
      <c r="C6" s="5"/>
    </row>
    <row r="7">
      <c r="A7" t="s" s="3">
        <v>3</v>
      </c>
      <c r="B7" t="n" s="4">
        <f>0.00</f>
        <v>0.0</v>
      </c>
      <c r="C7" s="5"/>
    </row>
    <row r="8">
      <c r="A8" t="s" s="3">
        <v>4</v>
      </c>
      <c r="B8" t="n" s="4">
        <f>64178.16</f>
        <v>0.0</v>
      </c>
      <c r="C8" s="5"/>
    </row>
    <row r="9">
      <c r="A9" t="s" s="3">
        <v>5</v>
      </c>
      <c r="B9" t="n" s="4">
        <f>0.69</f>
        <v>0.0</v>
      </c>
      <c r="C9" s="5"/>
    </row>
    <row r="10">
      <c r="A10" t="s" s="3">
        <v>6</v>
      </c>
      <c r="B10" t="n" s="4">
        <f>0.00</f>
        <v>0.0</v>
      </c>
      <c r="C10" s="5"/>
    </row>
    <row r="11">
      <c r="A11" t="s" s="3">
        <v>7</v>
      </c>
      <c r="B11" t="n" s="4">
        <f>0.00</f>
        <v>0.0</v>
      </c>
      <c r="C11" s="5"/>
    </row>
    <row r="12">
      <c r="A12" t="s" s="3">
        <v>8</v>
      </c>
      <c r="B12" t="n" s="4">
        <f>0.00</f>
        <v>0.0</v>
      </c>
      <c r="C12" s="5"/>
    </row>
    <row r="13">
      <c r="A13" t="s" s="3">
        <v>9</v>
      </c>
      <c r="B13" s="5"/>
      <c r="C13" t="n" s="4">
        <f>125848.00</f>
        <v>0.0</v>
      </c>
    </row>
    <row r="14">
      <c r="A14" t="s" s="3">
        <v>10</v>
      </c>
      <c r="B14" t="n" s="4">
        <f>56.62</f>
        <v>0.0</v>
      </c>
      <c r="C14" s="5"/>
    </row>
    <row r="15">
      <c r="A15" t="s" s="3">
        <v>11</v>
      </c>
      <c r="B15" t="n" s="4">
        <f>132037.34</f>
        <v>0.0</v>
      </c>
      <c r="C15" s="5"/>
    </row>
    <row r="16">
      <c r="A16" t="s" s="3">
        <v>12</v>
      </c>
      <c r="B16" t="n" s="4">
        <f>69995.98</f>
        <v>0.0</v>
      </c>
      <c r="C16" s="5"/>
    </row>
    <row r="17">
      <c r="A17" t="s" s="3">
        <v>13</v>
      </c>
      <c r="B17" t="n" s="4">
        <f>6000.00</f>
        <v>0.0</v>
      </c>
      <c r="C17" s="5"/>
    </row>
    <row r="18">
      <c r="A18" t="s" s="3">
        <v>14</v>
      </c>
      <c r="B18" t="n" s="4">
        <f>64114.49</f>
        <v>0.0</v>
      </c>
      <c r="C18" s="5"/>
    </row>
    <row r="19">
      <c r="A19" t="s" s="3">
        <v>15</v>
      </c>
      <c r="B19" s="5"/>
      <c r="C19" t="n" s="4">
        <f>9340.02</f>
        <v>0.0</v>
      </c>
    </row>
    <row r="20">
      <c r="A20" t="s" s="3">
        <v>16</v>
      </c>
      <c r="B20" t="n" s="4">
        <f>210973.13</f>
        <v>0.0</v>
      </c>
      <c r="C20" s="5"/>
    </row>
    <row r="21">
      <c r="A21" t="s" s="3">
        <v>17</v>
      </c>
      <c r="B21" s="5"/>
      <c r="C21" t="n" s="4">
        <f>79221.27</f>
        <v>0.0</v>
      </c>
    </row>
    <row r="22">
      <c r="A22" t="s" s="3">
        <v>18</v>
      </c>
      <c r="B22" s="5"/>
      <c r="C22" t="n" s="4">
        <f>140394.98</f>
        <v>0.0</v>
      </c>
    </row>
    <row r="23">
      <c r="A23" t="s" s="3">
        <v>19</v>
      </c>
      <c r="B23" t="n" s="4">
        <f>87431.29</f>
        <v>0.0</v>
      </c>
      <c r="C23" s="5"/>
    </row>
    <row r="24">
      <c r="A24" t="s" s="3">
        <v>20</v>
      </c>
      <c r="B24" s="5"/>
      <c r="C24" t="n" s="4">
        <f>0.00</f>
        <v>0.0</v>
      </c>
    </row>
    <row r="25">
      <c r="A25" t="s" s="3">
        <v>21</v>
      </c>
      <c r="B25" s="5"/>
      <c r="C25" t="n" s="4">
        <f>0.00</f>
        <v>0.0</v>
      </c>
    </row>
    <row r="26">
      <c r="A26" t="s" s="3">
        <v>22</v>
      </c>
      <c r="B26" s="5"/>
      <c r="C26" t="n" s="4">
        <f>10560.00</f>
        <v>0.0</v>
      </c>
    </row>
    <row r="27">
      <c r="A27" t="s" s="3">
        <v>23</v>
      </c>
      <c r="B27" s="5"/>
      <c r="C27" t="n" s="4">
        <f>35811.43</f>
        <v>0.0</v>
      </c>
    </row>
    <row r="28">
      <c r="A28" t="s" s="3">
        <v>24</v>
      </c>
      <c r="B28" t="n" s="4">
        <f>18585.80</f>
        <v>0.0</v>
      </c>
      <c r="C28" s="5"/>
    </row>
    <row r="29">
      <c r="A29" t="s" s="3">
        <v>25</v>
      </c>
      <c r="B29" s="5"/>
      <c r="C29" t="n" s="4">
        <f>1000.00</f>
        <v>0.0</v>
      </c>
    </row>
    <row r="30">
      <c r="A30" t="s" s="3">
        <v>26</v>
      </c>
      <c r="B30" t="n" s="4">
        <f>2167.17</f>
        <v>0.0</v>
      </c>
      <c r="C30" s="5"/>
    </row>
    <row r="31">
      <c r="A31" t="s" s="3">
        <v>27</v>
      </c>
      <c r="B31" s="5"/>
      <c r="C31" t="n" s="4">
        <f>10581.84</f>
        <v>0.0</v>
      </c>
    </row>
    <row r="32">
      <c r="A32" t="s" s="3">
        <v>28</v>
      </c>
      <c r="B32" t="n" s="4">
        <f>30789.21</f>
        <v>0.0</v>
      </c>
      <c r="C32" s="5"/>
    </row>
    <row r="33">
      <c r="A33" t="s" s="3">
        <v>29</v>
      </c>
      <c r="B33" t="n" s="4">
        <f>216118.08</f>
        <v>0.0</v>
      </c>
      <c r="C33" s="5"/>
    </row>
    <row r="34">
      <c r="A34" t="s" s="3">
        <v>30</v>
      </c>
      <c r="B34" t="n" s="4">
        <f>1249.15</f>
        <v>0.0</v>
      </c>
      <c r="C34" s="5"/>
    </row>
    <row r="35">
      <c r="A35" t="s" s="3">
        <v>31</v>
      </c>
      <c r="B35" s="5"/>
      <c r="C35" t="n" s="4">
        <f>5448684.44</f>
        <v>0.0</v>
      </c>
    </row>
    <row r="36">
      <c r="A36" t="s" s="3">
        <v>32</v>
      </c>
      <c r="B36" s="5"/>
      <c r="C36" t="n" s="4">
        <f>360.88</f>
        <v>0.0</v>
      </c>
    </row>
    <row r="37">
      <c r="A37" t="s" s="3">
        <v>33</v>
      </c>
      <c r="B37" s="5"/>
      <c r="C37" t="n" s="4">
        <f>303.00</f>
        <v>0.0</v>
      </c>
    </row>
    <row r="38">
      <c r="A38" t="s" s="3">
        <v>34</v>
      </c>
      <c r="B38" s="5"/>
      <c r="C38" t="n" s="4">
        <f>12893.82</f>
        <v>0.0</v>
      </c>
    </row>
    <row r="39">
      <c r="A39" t="s" s="3">
        <v>35</v>
      </c>
      <c r="B39" t="n" s="4">
        <f>286703.95</f>
        <v>0.0</v>
      </c>
      <c r="C39" s="5"/>
    </row>
    <row r="40">
      <c r="A40" t="s" s="3">
        <v>36</v>
      </c>
      <c r="B40" t="n" s="4">
        <f>1933252.04</f>
        <v>0.0</v>
      </c>
      <c r="C40" s="5"/>
    </row>
    <row r="41">
      <c r="A41" t="s" s="3">
        <v>37</v>
      </c>
      <c r="B41" t="n" s="4">
        <f>23961.13</f>
        <v>0.0</v>
      </c>
      <c r="C41" s="5"/>
    </row>
    <row r="42">
      <c r="A42" t="s" s="3">
        <v>38</v>
      </c>
      <c r="B42" t="n" s="4">
        <f>9861.68</f>
        <v>0.0</v>
      </c>
      <c r="C42" s="5"/>
    </row>
    <row r="43">
      <c r="A43" t="s" s="3">
        <v>39</v>
      </c>
      <c r="B43" t="n" s="4">
        <f>533201.99</f>
        <v>0.0</v>
      </c>
      <c r="C43" s="5"/>
    </row>
    <row r="44">
      <c r="A44" t="s" s="3">
        <v>40</v>
      </c>
      <c r="B44" t="n" s="4">
        <f>490513.59</f>
        <v>0.0</v>
      </c>
      <c r="C44" s="5"/>
    </row>
    <row r="45">
      <c r="A45" t="s" s="3">
        <v>41</v>
      </c>
      <c r="B45" t="n" s="4">
        <f>24173.15</f>
        <v>0.0</v>
      </c>
      <c r="C45" s="5"/>
    </row>
    <row r="46">
      <c r="A46" t="s" s="3">
        <v>42</v>
      </c>
      <c r="B46" t="n" s="4">
        <f>489628.33</f>
        <v>0.0</v>
      </c>
      <c r="C46" s="5"/>
    </row>
    <row r="47">
      <c r="A47" t="s" s="3">
        <v>43</v>
      </c>
      <c r="B47" t="n" s="4">
        <f>347.99</f>
        <v>0.0</v>
      </c>
      <c r="C47" s="5"/>
    </row>
    <row r="48">
      <c r="A48" t="s" s="3">
        <v>44</v>
      </c>
      <c r="B48" t="n" s="4">
        <f>374.60</f>
        <v>0.0</v>
      </c>
      <c r="C48" s="5"/>
    </row>
    <row r="49">
      <c r="A49" t="s" s="3">
        <v>45</v>
      </c>
      <c r="B49" t="n" s="4">
        <f>2450.41</f>
        <v>0.0</v>
      </c>
      <c r="C49" s="5"/>
    </row>
    <row r="50">
      <c r="A50" t="s" s="3">
        <v>46</v>
      </c>
      <c r="B50" t="n" s="4">
        <f>9569.98</f>
        <v>0.0</v>
      </c>
      <c r="C50" s="5"/>
    </row>
    <row r="51">
      <c r="A51" t="s" s="3">
        <v>47</v>
      </c>
      <c r="B51" t="n" s="4">
        <f>1000.00</f>
        <v>0.0</v>
      </c>
      <c r="C51" s="5"/>
    </row>
    <row r="52">
      <c r="A52" t="s" s="3">
        <v>48</v>
      </c>
      <c r="B52" t="n" s="4">
        <f>7669.65</f>
        <v>0.0</v>
      </c>
      <c r="C52" s="5"/>
    </row>
    <row r="53">
      <c r="A53" t="s" s="3">
        <v>49</v>
      </c>
      <c r="B53" t="n" s="4">
        <f>67877.00</f>
        <v>0.0</v>
      </c>
      <c r="C53" s="5"/>
    </row>
    <row r="54">
      <c r="A54" t="s" s="3">
        <v>50</v>
      </c>
      <c r="B54" t="n" s="4">
        <f>15970.41</f>
        <v>0.0</v>
      </c>
      <c r="C54" s="5"/>
    </row>
    <row r="55">
      <c r="A55" t="s" s="3">
        <v>51</v>
      </c>
      <c r="B55" t="n" s="4">
        <f>36420.50</f>
        <v>0.0</v>
      </c>
      <c r="C55" s="5"/>
    </row>
    <row r="56">
      <c r="A56" t="s" s="3">
        <v>52</v>
      </c>
      <c r="B56" t="n" s="4">
        <f>1139.55</f>
        <v>0.0</v>
      </c>
      <c r="C56" s="5"/>
    </row>
    <row r="57">
      <c r="A57" t="s" s="3">
        <v>53</v>
      </c>
      <c r="B57" t="n" s="4">
        <f>113236.25</f>
        <v>0.0</v>
      </c>
      <c r="C57" s="5"/>
    </row>
    <row r="58">
      <c r="A58" t="s" s="3">
        <v>54</v>
      </c>
      <c r="B58" t="n" s="4">
        <f>59035.26</f>
        <v>0.0</v>
      </c>
      <c r="C58" s="5"/>
    </row>
    <row r="59">
      <c r="A59" t="s" s="3">
        <v>55</v>
      </c>
      <c r="B59" t="n" s="4">
        <f>11317.46</f>
        <v>0.0</v>
      </c>
      <c r="C59" s="5"/>
    </row>
    <row r="60">
      <c r="A60" t="s" s="3">
        <v>56</v>
      </c>
      <c r="B60" t="n" s="4">
        <f>13517.19</f>
        <v>0.0</v>
      </c>
      <c r="C60" s="5"/>
    </row>
    <row r="61">
      <c r="A61" t="s" s="3">
        <v>57</v>
      </c>
      <c r="B61" t="n" s="4">
        <f>15877.50</f>
        <v>0.0</v>
      </c>
      <c r="C61" s="5"/>
    </row>
    <row r="62">
      <c r="A62" t="s" s="3">
        <v>58</v>
      </c>
      <c r="B62" t="n" s="4">
        <f>54634.57</f>
        <v>0.0</v>
      </c>
      <c r="C62" s="5"/>
    </row>
    <row r="63">
      <c r="A63" t="s" s="3">
        <v>59</v>
      </c>
      <c r="B63" t="n" s="4">
        <f>174.00</f>
        <v>0.0</v>
      </c>
      <c r="C63" s="5"/>
    </row>
    <row r="64">
      <c r="A64" t="s" s="3">
        <v>60</v>
      </c>
      <c r="B64" t="n" s="4">
        <f>1.50</f>
        <v>0.0</v>
      </c>
      <c r="C64" s="5"/>
    </row>
    <row r="65">
      <c r="A65" t="s" s="3">
        <v>61</v>
      </c>
      <c r="B65" t="n" s="4">
        <f>4.50</f>
        <v>0.0</v>
      </c>
      <c r="C65" s="5"/>
    </row>
    <row r="66">
      <c r="A66" t="s" s="3">
        <v>62</v>
      </c>
      <c r="B66" t="n" s="4">
        <f>27625.02</f>
        <v>0.0</v>
      </c>
      <c r="C66" s="5"/>
    </row>
    <row r="67">
      <c r="A67" t="s" s="3">
        <v>63</v>
      </c>
      <c r="B67" t="n" s="4">
        <f>596.64</f>
        <v>0.0</v>
      </c>
      <c r="C67" s="5"/>
    </row>
    <row r="68">
      <c r="A68" t="s" s="3">
        <v>64</v>
      </c>
      <c r="B68" t="n" s="4">
        <f>32575.00</f>
        <v>0.0</v>
      </c>
      <c r="C68" s="5"/>
    </row>
    <row r="69">
      <c r="A69" t="s" s="3">
        <v>65</v>
      </c>
      <c r="B69" t="n" s="4">
        <f>32633.30</f>
        <v>0.0</v>
      </c>
      <c r="C69" s="5"/>
    </row>
    <row r="70">
      <c r="A70" t="s" s="3">
        <v>66</v>
      </c>
      <c r="B70" t="n" s="4">
        <f>182500.00</f>
        <v>0.0</v>
      </c>
      <c r="C70" s="5"/>
    </row>
    <row r="71">
      <c r="A71" t="s" s="3">
        <v>67</v>
      </c>
      <c r="B71" t="n" s="4">
        <f>320.00</f>
        <v>0.0</v>
      </c>
      <c r="C71" s="5"/>
    </row>
    <row r="72">
      <c r="A72" t="s" s="3">
        <v>68</v>
      </c>
      <c r="B72" t="n" s="4">
        <f>0.00</f>
        <v>0.0</v>
      </c>
      <c r="C72" s="5"/>
    </row>
    <row r="73">
      <c r="A73" t="s" s="3">
        <v>69</v>
      </c>
      <c r="B73" t="n" s="4">
        <f>280.00</f>
        <v>0.0</v>
      </c>
      <c r="C73" s="5"/>
    </row>
    <row r="74">
      <c r="A74" t="s" s="3">
        <v>70</v>
      </c>
      <c r="B74" t="n" s="4">
        <f>130465.00</f>
        <v>0.0</v>
      </c>
      <c r="C74" s="5"/>
    </row>
    <row r="75">
      <c r="A75" t="s" s="3">
        <v>71</v>
      </c>
      <c r="B75" t="n" s="4">
        <f>34981.07</f>
        <v>0.0</v>
      </c>
      <c r="C75" s="5"/>
    </row>
    <row r="76">
      <c r="A76" t="s" s="3">
        <v>72</v>
      </c>
      <c r="B76" t="n" s="4">
        <f>5010.25</f>
        <v>0.0</v>
      </c>
      <c r="C76" s="5"/>
    </row>
    <row r="77">
      <c r="A77" t="s" s="3">
        <v>73</v>
      </c>
      <c r="B77" t="n" s="4">
        <f>100986.05</f>
        <v>0.0</v>
      </c>
      <c r="C77" s="5"/>
    </row>
    <row r="78">
      <c r="A78" t="s" s="3">
        <v>74</v>
      </c>
      <c r="B78" t="n" s="4">
        <f>230.00</f>
        <v>0.0</v>
      </c>
      <c r="C78" s="5"/>
    </row>
    <row r="79">
      <c r="A79" t="s" s="3">
        <v>75</v>
      </c>
      <c r="B79" t="n" s="4">
        <f>13414.64</f>
        <v>0.0</v>
      </c>
      <c r="C79" s="5"/>
    </row>
    <row r="80">
      <c r="A80" t="s" s="3">
        <v>76</v>
      </c>
      <c r="B80" t="n" s="4">
        <f>439.97</f>
        <v>0.0</v>
      </c>
      <c r="C80" s="5"/>
    </row>
    <row r="81">
      <c r="A81" t="s" s="3">
        <v>77</v>
      </c>
      <c r="B81" t="n" s="4">
        <f>183.12</f>
        <v>0.0</v>
      </c>
      <c r="C81" s="5"/>
    </row>
    <row r="82">
      <c r="A82" t="s" s="3">
        <v>78</v>
      </c>
      <c r="B82" t="n" s="4">
        <f>97869.49</f>
        <v>0.0</v>
      </c>
      <c r="C82" s="5"/>
    </row>
    <row r="83">
      <c r="A83" t="s" s="3">
        <v>79</v>
      </c>
      <c r="B83" t="n" s="4">
        <f>1713.23</f>
        <v>0.0</v>
      </c>
      <c r="C83" s="5"/>
    </row>
    <row r="84">
      <c r="A84" t="s" s="3">
        <v>80</v>
      </c>
      <c r="B84" s="5"/>
      <c r="C84" t="n" s="4">
        <f>153089.37</f>
        <v>0.0</v>
      </c>
    </row>
    <row r="85">
      <c r="A85" t="s" s="3">
        <v>81</v>
      </c>
      <c r="B85" s="5"/>
      <c r="C85" t="n" s="4">
        <f>2877.01</f>
        <v>0.0</v>
      </c>
    </row>
    <row r="86">
      <c r="A86" t="s" s="3">
        <v>82</v>
      </c>
      <c r="B86" t="n" s="4">
        <f>9022.22</f>
        <v>0.0</v>
      </c>
      <c r="C86" s="5"/>
    </row>
    <row r="87">
      <c r="A87" t="s" s="3">
        <v>83</v>
      </c>
      <c r="B87" t="n" s="4">
        <f>20858.44</f>
        <v>0.0</v>
      </c>
      <c r="C87" s="5"/>
    </row>
    <row r="88">
      <c r="A88" t="s" s="3">
        <v>84</v>
      </c>
      <c r="B88" t="n" s="4">
        <f>34107.26</f>
        <v>0.0</v>
      </c>
      <c r="C88" s="5"/>
    </row>
    <row r="89">
      <c r="A89" t="s" s="3">
        <v>85</v>
      </c>
      <c r="B89" t="n" s="4">
        <f>188325.88</f>
        <v>0.0</v>
      </c>
      <c r="C89" s="5"/>
    </row>
    <row r="90">
      <c r="A90" t="s" s="3">
        <v>86</v>
      </c>
      <c r="B90" t="n" s="4">
        <f>9571.26</f>
        <v>0.0</v>
      </c>
      <c r="C90" s="5"/>
    </row>
    <row r="91">
      <c r="A91" t="s" s="3">
        <v>87</v>
      </c>
      <c r="B91" t="n" s="4">
        <f>1195.71</f>
        <v>0.0</v>
      </c>
      <c r="C91" s="5"/>
    </row>
    <row r="92">
      <c r="A92" t="s" s="3">
        <v>88</v>
      </c>
      <c r="B92" t="n" s="6">
        <f>((((((((((((((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)+(B78))+(B79))+(B80))+(B81))+(B82))+(B83))+(B84))+(B85))+(B86))+(B87))+(B88))+(B89))+(B90))+(B91)</f>
        <v>0.0</v>
      </c>
      <c r="C92" t="n" s="6">
        <f>((((((((((((((((((((((((((((((((((((((((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)+(C54))+(C55))+(C56))+(C57))+(C58))+(C59))+(C60))+(C61))+(C62))+(C63))+(C64))+(C65))+(C66))+(C67))+(C68))+(C69))+(C70))+(C71))+(C72))+(C73))+(C74))+(C75))+(C76))+(C77))+(C78))+(C79))+(C80))+(C81))+(C82))+(C83))+(C84))+(C85))+(C86))+(C87))+(C88))+(C89))+(C90))+(C91)</f>
        <v>0.0</v>
      </c>
    </row>
    <row r="93">
      <c r="A93" s="3"/>
      <c r="B93" s="5"/>
      <c r="C93" s="5"/>
    </row>
    <row r="96">
      <c r="A96" s="7" t="s">
        <v>89</v>
      </c>
      <c r="B96"/>
      <c r="C96"/>
    </row>
  </sheetData>
  <mergeCells count="4">
    <mergeCell ref="A96:C96"/>
    <mergeCell ref="A1:C1"/>
    <mergeCell ref="A2:C2"/>
    <mergeCell ref="A3:C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2025-08-05T17:45:38Z</dcterms:created>
  <dc:creator>Apache POI</dc:creator>
</cp:coreProperties>
</file>